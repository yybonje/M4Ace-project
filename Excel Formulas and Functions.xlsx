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D2D1B4-CAF5-49DF-A35F-1D0D00371BF9}" xr6:coauthVersionLast="47" xr6:coauthVersionMax="47" xr10:uidLastSave="{00000000-0000-0000-0000-000000000000}"/>
  <bookViews>
    <workbookView xWindow="-110" yWindow="-110" windowWidth="19420" windowHeight="10300" tabRatio="808" firstSheet="3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2" i="10"/>
  <c r="E7" i="9"/>
  <c r="E3" i="9"/>
  <c r="C24" i="8" a="1"/>
  <c r="C24" i="8" s="1"/>
  <c r="C23" i="8"/>
  <c r="C19" i="8"/>
  <c r="C15" i="8"/>
  <c r="C11" i="8"/>
  <c r="C7" i="8"/>
  <c r="C6" i="8"/>
  <c r="C5" i="8"/>
  <c r="C4" i="8"/>
  <c r="C3" i="8"/>
  <c r="C2" i="8"/>
  <c r="A32" i="7"/>
  <c r="A29" i="7"/>
  <c r="A26" i="7"/>
  <c r="A23" i="7"/>
  <c r="A19" i="7"/>
  <c r="A15" i="7"/>
  <c r="A11" i="7"/>
  <c r="A7" i="7"/>
  <c r="A3" i="7"/>
  <c r="G3" i="6" a="1"/>
  <c r="G3" i="6" s="1"/>
  <c r="F3" i="6"/>
  <c r="F4" i="6"/>
  <c r="G2" i="6"/>
  <c r="F2" i="6"/>
  <c r="E12" i="5"/>
  <c r="E11" i="5"/>
  <c r="E9" i="5"/>
  <c r="E10" i="5"/>
  <c r="E8" i="5"/>
  <c r="E7" i="5"/>
  <c r="E6" i="5"/>
  <c r="E5" i="5"/>
  <c r="E4" i="5"/>
  <c r="E3" i="5"/>
  <c r="E2" i="5"/>
  <c r="B5" i="4"/>
  <c r="C7" i="12"/>
  <c r="D7" i="12"/>
  <c r="E7" i="12"/>
  <c r="B9" i="12"/>
  <c r="B7" i="12"/>
  <c r="B5" i="12"/>
  <c r="C5" i="12"/>
  <c r="D5" i="12"/>
  <c r="E5" i="12"/>
  <c r="C4" i="12"/>
  <c r="D4" i="12"/>
  <c r="E4" i="12"/>
  <c r="B4" i="12"/>
  <c r="E3" i="12"/>
  <c r="E2" i="12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<sst xmlns="http://schemas.openxmlformats.org/spreadsheetml/2006/main" count="151" uniqueCount="75">
  <si>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</si>
  <si>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</si>
  <si>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</si>
  <si>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</si>
  <si>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</si>
  <si>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</si>
  <si>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</si>
  <si>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</si>
  <si>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</si>
  <si>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</si>
  <si>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</si>
  <si>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</si>
  <si>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</si>
  <si>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</si>
  <si>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</si>
  <si>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</si>
  <si>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</si>
  <si>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</si>
  <si>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</si>
  <si>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</si>
  <si>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</si>
  <si>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</si>
  <si>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</si>
  <si>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</si>
  <si>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</si>
  <si>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</si>
  <si>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</si>
  <si>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</si>
  <si>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</si>
  <si>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</si>
  <si>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</si>
  <si>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</si>
  <si>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</si>
  <si>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</si>
  <si>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</si>
  <si>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</si>
  <si>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</si>
  <si>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</si>
  <si>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</si>
  <si>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</si>
  <si>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</si>
  <si>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</si>
  <si>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</si>
  <si>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</si>
  <si>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</si>
  <si>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</si>
  <si>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</si>
  <si>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</si>
  <si>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</si>
  <si>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</si>
  <si>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</si>
  <si>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</si>
  <si>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</si>
  <si>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</si>
  <si>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</si>
  <si>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</si>
  <si>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</si>
  <si>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</si>
  <si>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</si>
  <si>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</si>
  <si>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</si>
  <si>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</si>
  <si>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</si>
  <si>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</si>
  <si>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</si>
  <si>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</si>
  <si>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</si>
  <si>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</si>
  <si>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</si>
  <si>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</si>
  <si>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</si>
  <si>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</si>
  <si>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</si>
  <si>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Tax rate from differnet work sheet</t>
  </si>
  <si>
    <t>chocolate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</si>
</sst>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93" zoomScaleNormal="93" workbookViewId="0">
      <selection activeCell="E8" sqref="E8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4.72656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35">
      <c r="A4" s="2" t="s">
        <v>7</v>
      </c>
      <c r="B4">
        <f>(B2-B3)</f>
        <v>6</v>
      </c>
      <c r="C4">
        <f t="shared" ref="C4:E4" si="0">(C2-C3)</f>
        <v>5</v>
      </c>
      <c r="D4">
        <f t="shared" si="0"/>
        <v>3</v>
      </c>
      <c r="E4">
        <f t="shared" si="0"/>
        <v>14</v>
      </c>
    </row>
    <row r="5" spans="1:7" x14ac:dyDescent="0.35">
      <c r="A5" s="2" t="s">
        <v>8</v>
      </c>
      <c r="B5">
        <f>B4*$G$2</f>
        <v>0.60000000000000009</v>
      </c>
      <c r="C5">
        <f t="shared" ref="C5:E5" si="1">C4*$G$2</f>
        <v>0.5</v>
      </c>
      <c r="D5">
        <f t="shared" si="1"/>
        <v>0.30000000000000004</v>
      </c>
      <c r="E5">
        <f t="shared" si="1"/>
        <v>1.4000000000000001</v>
      </c>
    </row>
    <row r="6" spans="1:7" x14ac:dyDescent="0.35">
      <c r="A6" s="2"/>
      <c r="C6" s="1"/>
    </row>
    <row r="7" spans="1:7" x14ac:dyDescent="0.35">
      <c r="A7" s="2" t="s">
        <v>73</v>
      </c>
      <c r="B7">
        <f>B4*Taxrate</f>
        <v>0.60000000000000009</v>
      </c>
      <c r="C7">
        <f>C4*Taxrate</f>
        <v>0.5</v>
      </c>
      <c r="D7">
        <f>D4*Taxrate</f>
        <v>0.30000000000000004</v>
      </c>
      <c r="E7">
        <f>E4*Taxrate</f>
        <v>1.4000000000000001</v>
      </c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5" zoomScaleNormal="95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93" zoomScaleNormal="93" workbookViewId="0">
      <selection activeCell="F5" sqref="F5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98" zoomScaleNormal="98" workbookViewId="0">
      <selection activeCell="E13" sqref="E13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MAX(B:B)</f>
        <v>97</v>
      </c>
    </row>
    <row r="4" spans="1:5" x14ac:dyDescent="0.35">
      <c r="A4" t="s">
        <v>2</v>
      </c>
      <c r="B4">
        <v>67</v>
      </c>
      <c r="D4" t="s">
        <v>17</v>
      </c>
      <c r="E4">
        <f>MIN(B:B)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LARGE(B:B,2)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SMALL(B:B,2)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9" spans="1:5" x14ac:dyDescent="0.35">
      <c r="E9">
        <f>COUNTBLANK(A2:A9)</f>
        <v>1</v>
      </c>
    </row>
    <row r="10" spans="1:5" x14ac:dyDescent="0.35">
      <c r="D10" t="s">
        <v>25</v>
      </c>
      <c r="E10">
        <f>SUM(B2:B8)/E8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zoomScale="88" zoomScaleNormal="88" workbookViewId="0">
      <selection activeCell="F4" sqref="F4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  <col min="6" max="6" width="18.1796875" customWidth="1"/>
    <col min="7" max="7" width="10" customWidth="1"/>
  </cols>
  <sheetData>
    <row r="1" spans="1:7" x14ac:dyDescent="0.35">
      <c r="A1" s="2" t="s">
        <v>13</v>
      </c>
      <c r="B1" s="2" t="s">
        <v>28</v>
      </c>
      <c r="C1" s="2" t="s">
        <v>14</v>
      </c>
      <c r="F1" s="2"/>
      <c r="G1" s="2"/>
    </row>
    <row r="2" spans="1:7" x14ac:dyDescent="0.3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  <c r="G2">
        <f>SUMIF(B:B,"*s",C:C)</f>
        <v>802</v>
      </c>
    </row>
    <row r="3" spans="1:7" x14ac:dyDescent="0.35">
      <c r="A3" t="s">
        <v>1</v>
      </c>
      <c r="B3" t="s">
        <v>29</v>
      </c>
      <c r="C3">
        <v>32</v>
      </c>
      <c r="E3" t="s">
        <v>31</v>
      </c>
      <c r="F3">
        <f>SUMIFS(C:C,B:B,B2,A:A,A2)</f>
        <v>28</v>
      </c>
      <c r="G3" cm="1">
        <f t="array" ref="G3">SUM(SUMIFS(C:C,B:B,B2,A:A,A2:A3))</f>
        <v>60</v>
      </c>
    </row>
    <row r="4" spans="1:7" x14ac:dyDescent="0.35">
      <c r="A4" t="s">
        <v>2</v>
      </c>
      <c r="B4" t="s">
        <v>29</v>
      </c>
      <c r="C4">
        <v>52</v>
      </c>
      <c r="F4">
        <f>SUMIFS(C:C,B:B,B3,A:A,A3)</f>
        <v>32</v>
      </c>
    </row>
    <row r="5" spans="1:7" x14ac:dyDescent="0.35">
      <c r="A5" t="s">
        <v>18</v>
      </c>
      <c r="B5" t="s">
        <v>29</v>
      </c>
      <c r="C5">
        <v>67</v>
      </c>
    </row>
    <row r="6" spans="1:7" x14ac:dyDescent="0.35">
      <c r="A6" t="s">
        <v>20</v>
      </c>
      <c r="B6" t="s">
        <v>29</v>
      </c>
      <c r="C6">
        <v>44</v>
      </c>
    </row>
    <row r="7" spans="1:7" x14ac:dyDescent="0.35">
      <c r="A7" t="s">
        <v>22</v>
      </c>
      <c r="B7" t="s">
        <v>29</v>
      </c>
      <c r="C7">
        <v>39</v>
      </c>
      <c r="E7" t="s">
        <v>32</v>
      </c>
    </row>
    <row r="8" spans="1:7" x14ac:dyDescent="0.35">
      <c r="A8" t="s">
        <v>24</v>
      </c>
      <c r="B8" t="s">
        <v>29</v>
      </c>
      <c r="C8">
        <v>100</v>
      </c>
      <c r="E8" t="s">
        <v>33</v>
      </c>
    </row>
    <row r="9" spans="1:7" x14ac:dyDescent="0.35">
      <c r="A9" t="s">
        <v>0</v>
      </c>
      <c r="B9" t="s">
        <v>34</v>
      </c>
      <c r="C9">
        <v>75</v>
      </c>
      <c r="E9" t="s">
        <v>35</v>
      </c>
    </row>
    <row r="10" spans="1:7" x14ac:dyDescent="0.35">
      <c r="A10" t="s">
        <v>1</v>
      </c>
      <c r="B10" t="s">
        <v>34</v>
      </c>
      <c r="C10">
        <v>32</v>
      </c>
      <c r="E10" t="s">
        <v>36</v>
      </c>
    </row>
    <row r="11" spans="1:7" x14ac:dyDescent="0.35">
      <c r="A11" t="s">
        <v>2</v>
      </c>
      <c r="B11" t="s">
        <v>34</v>
      </c>
      <c r="C11">
        <v>40</v>
      </c>
      <c r="E11" t="s">
        <v>37</v>
      </c>
    </row>
    <row r="12" spans="1:7" x14ac:dyDescent="0.35">
      <c r="A12" t="s">
        <v>18</v>
      </c>
      <c r="B12" t="s">
        <v>34</v>
      </c>
      <c r="C12">
        <v>21</v>
      </c>
      <c r="E12" t="s">
        <v>38</v>
      </c>
    </row>
    <row r="13" spans="1:7" x14ac:dyDescent="0.35">
      <c r="A13" t="s">
        <v>20</v>
      </c>
      <c r="B13" t="s">
        <v>34</v>
      </c>
      <c r="C13">
        <v>58</v>
      </c>
    </row>
    <row r="14" spans="1:7" x14ac:dyDescent="0.35">
      <c r="A14" t="s">
        <v>22</v>
      </c>
      <c r="B14" t="s">
        <v>34</v>
      </c>
      <c r="C14">
        <v>21</v>
      </c>
    </row>
    <row r="15" spans="1:7" x14ac:dyDescent="0.35">
      <c r="A15" t="s">
        <v>24</v>
      </c>
      <c r="B15" t="s">
        <v>34</v>
      </c>
      <c r="C15">
        <v>54</v>
      </c>
    </row>
    <row r="16" spans="1:7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2" zoomScale="92" zoomScaleNormal="92" workbookViewId="0">
      <selection activeCell="A32" sqref="A32"/>
    </sheetView>
  </sheetViews>
  <sheetFormatPr defaultRowHeight="14.5" x14ac:dyDescent="0.35"/>
  <cols>
    <col min="1" max="1" width="25.542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+TRIM(A6)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_xlfn.CONCAT(A10," ",B10," ",C10)</f>
        <v>Kevin Cookie 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A14&amp;" "&amp;B14&amp;" "&amp;C14</f>
        <v>Kevin Cookie 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",TRUE,A18,B18,C18)</f>
        <v>Kevin Cookie Company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</row>
    <row r="26" spans="1:3" x14ac:dyDescent="0.35">
      <c r="A26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A29">
        <f>FIND("@",A28)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0" zoomScale="90" zoomScaleNormal="90" workbookViewId="0">
      <selection activeCell="C24" sqref="C24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  <c r="C2" t="b">
        <f>A2=B2</f>
        <v>0</v>
      </c>
    </row>
    <row r="3" spans="1:3" x14ac:dyDescent="0.35">
      <c r="A3">
        <v>10</v>
      </c>
      <c r="B3">
        <v>5</v>
      </c>
      <c r="C3" t="b">
        <f>A3=B3</f>
        <v>0</v>
      </c>
    </row>
    <row r="4" spans="1:3" x14ac:dyDescent="0.35">
      <c r="B4">
        <v>11</v>
      </c>
      <c r="C4" t="b">
        <f>A3&gt;B4</f>
        <v>0</v>
      </c>
    </row>
    <row r="5" spans="1:3" x14ac:dyDescent="0.35">
      <c r="C5" t="b">
        <f>B3&lt;A3</f>
        <v>1</v>
      </c>
    </row>
    <row r="6" spans="1:3" x14ac:dyDescent="0.35">
      <c r="C6" t="b">
        <f>AND(A3&gt;B3,B4&lt;B3)</f>
        <v>0</v>
      </c>
    </row>
    <row r="7" spans="1:3" x14ac:dyDescent="0.35">
      <c r="C7" t="b">
        <f>OR(B3&lt;A3,B3&gt;B4)</f>
        <v>1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str">
        <f>IF(AND(B10&gt;B11,B10&gt;B12),"yes","no")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IF(OR(B14&gt;B11,B14&gt;B12),"yes","no")</f>
        <v>no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74</v>
      </c>
    </row>
    <row r="23" spans="1:5" x14ac:dyDescent="0.35">
      <c r="A23" t="s">
        <v>1</v>
      </c>
      <c r="B23">
        <v>8</v>
      </c>
      <c r="C23">
        <f>IF(E22=A22,B22,IF(E22=A23,B23,IF(E22=A24,B24,"unknown")))</f>
        <v>10</v>
      </c>
    </row>
    <row r="24" spans="1:5" x14ac:dyDescent="0.35">
      <c r="A24" t="s">
        <v>2</v>
      </c>
      <c r="B24">
        <v>5</v>
      </c>
      <c r="C24" cm="1">
        <f t="array" ref="C24">_xlfn.IFS(E22=A24,B24,E22=A22,B22,E22=A23,B23)</f>
        <v>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tabSelected="1" zoomScale="93" zoomScaleNormal="93" workbookViewId="0">
      <selection activeCell="E3" sqref="E3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  <row r="7" spans="1:6" x14ac:dyDescent="0.35">
      <c r="E7">
        <f>_xlfn.XLOOKUP(F6,A2:A4,B2:B4,FALSE)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96" zoomScaleNormal="96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46086</v>
      </c>
    </row>
    <row r="4" spans="1:1" x14ac:dyDescent="0.35">
      <c r="A4" s="2" t="s">
        <v>72</v>
      </c>
    </row>
    <row r="5" spans="1:1" x14ac:dyDescent="0.35">
      <c r="A5" s="7">
        <f ca="1">NOW()</f>
        <v>46086.084418634258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zoomScale="99" zoomScaleNormal="99" workbookViewId="0">
      <selection activeCell="B4" sqref="B4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YUSUF YAHAYA</cp:lastModifiedBy>
  <cp:revision/>
  <dcterms:created xsi:type="dcterms:W3CDTF">2022-05-10T22:30:35Z</dcterms:created>
  <dcterms:modified xsi:type="dcterms:W3CDTF">2026-03-05T07:08:54Z</dcterms:modified>
  <cp:category/>
  <cp:contentStatus/>
</cp:coreProperties>
</file>